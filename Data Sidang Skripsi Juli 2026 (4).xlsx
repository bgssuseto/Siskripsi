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lab6\Downloads\"/>
    </mc:Choice>
  </mc:AlternateContent>
  <xr:revisionPtr revIDLastSave="0" documentId="13_ncr:1_{D611730D-25BD-44D5-B59A-2B676F489926}" xr6:coauthVersionLast="47" xr6:coauthVersionMax="47" xr10:uidLastSave="{00000000-0000-0000-0000-000000000000}"/>
  <bookViews>
    <workbookView xWindow="28680" yWindow="-120" windowWidth="21840" windowHeight="13020" activeTab="1" xr2:uid="{00000000-000D-0000-FFFF-FFFF00000000}"/>
  </bookViews>
  <sheets>
    <sheet name="Sidang" sheetId="1" r:id="rId1"/>
    <sheet name="Jurnal" sheetId="2" r:id="rId2"/>
  </sheets>
  <definedNames>
    <definedName name="_xlnm._FilterDatabase" localSheetId="1" hidden="1">Jurnal!$A$1:$L$8</definedName>
    <definedName name="_xlnm._FilterDatabase" localSheetId="0" hidden="1">Sidang!$C$1:$L$29</definedName>
  </definedNames>
  <calcPr calcId="0"/>
  <extLst>
    <ext uri="GoogleSheetsCustomDataVersion2">
      <go:sheetsCustomData xmlns:go="http://customooxmlschemas.google.com/" r:id="rId6" roundtripDataChecksum="79lSn0elX4jqrb87WqxENhDmiQWX+9Yw29O37UrgxsE="/>
    </ext>
  </extLst>
</workbook>
</file>

<file path=xl/calcChain.xml><?xml version="1.0" encoding="utf-8"?>
<calcChain xmlns="http://schemas.openxmlformats.org/spreadsheetml/2006/main">
  <c r="H33" i="2" l="1"/>
  <c r="H32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8" i="2"/>
  <c r="I7" i="2"/>
  <c r="I6" i="2"/>
  <c r="I5" i="2"/>
  <c r="I4" i="2"/>
  <c r="I3" i="2"/>
  <c r="I2" i="2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M34" i="1"/>
  <c r="K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100-000001000000}">
      <text>
        <r>
          <rPr>
            <sz val="10"/>
            <color rgb="FF000000"/>
            <rFont val="Arial"/>
            <scheme val="minor"/>
          </rPr>
          <t>Diinfo Pengujinya untuk tidak dilaksanakan ujian
======</t>
        </r>
      </text>
    </comment>
  </commentList>
</comments>
</file>

<file path=xl/sharedStrings.xml><?xml version="1.0" encoding="utf-8"?>
<sst xmlns="http://schemas.openxmlformats.org/spreadsheetml/2006/main" count="408" uniqueCount="129">
  <si>
    <t>NIM</t>
  </si>
  <si>
    <t xml:space="preserve">Nama (Mohon dituliskan dengan huruf kapital) </t>
  </si>
  <si>
    <t>Judul Skripsi (Mohon dituliskan dengan huruf kapital)</t>
  </si>
  <si>
    <t>Dosbing Utama</t>
  </si>
  <si>
    <t>Dosbing Pendamping</t>
  </si>
  <si>
    <t>Ketua Penguji</t>
  </si>
  <si>
    <t>Penguji 1</t>
  </si>
  <si>
    <t>Penguji 2</t>
  </si>
  <si>
    <t>Hari</t>
  </si>
  <si>
    <t>Jam</t>
  </si>
  <si>
    <t>Ruangan</t>
  </si>
  <si>
    <t>HELMI AGHIB RIZKI</t>
  </si>
  <si>
    <t>PROTOTYPE "NGOCEH GO" PENDATAAN KEMISKINAN KELUARGA DI DESA KALIWUNGU BERBASIS SUARA (SUBTEMA: PELAYANAN DAN KELEMBAGAAN)</t>
  </si>
  <si>
    <t>Arief Susanto, ST., M.Kom</t>
  </si>
  <si>
    <t>Tutik Khotimah, S.Kom., M.Kom</t>
  </si>
  <si>
    <t>Dr. Rina Fiati, ST., M.Cs</t>
  </si>
  <si>
    <t>Ratih Nindyasari, S.Kom., M.Kom</t>
  </si>
  <si>
    <t>Rabu, 15 Juli 2026</t>
  </si>
  <si>
    <t>08.00 - 09.00</t>
  </si>
  <si>
    <t>J.5.05</t>
  </si>
  <si>
    <t>ALFIAN RIZKY DANNARTA</t>
  </si>
  <si>
    <t>E-Payroll KSP BERBASIS TARGET NASABAH : SISTEM PERHITUNGAN GAJI DAN BONUS OTOMATIS</t>
  </si>
  <si>
    <t>Aditya Akbar Riadi, S.Kom., M.Kom</t>
  </si>
  <si>
    <t>09.00 - 10.00</t>
  </si>
  <si>
    <t>AJI FERRY CAHYONO</t>
  </si>
  <si>
    <t>PENGEMBANGAN SISTEM ADMINISTRASI DISTRIBUSI BARANG BERBASIS WEB PT. XYZ</t>
  </si>
  <si>
    <t>Rizkysari Meimaharani, S.Kom., M.Kom</t>
  </si>
  <si>
    <t>Ir. Andre Tri Saputra, S.Kom., M.Kom</t>
  </si>
  <si>
    <t>10.00 - 11.00</t>
  </si>
  <si>
    <t>JAGAD JELANG RAMADHANI</t>
  </si>
  <si>
    <t>Implementasi Intrusion Detection Prevention System (IDPS) dengan Mekanisme Blokir Otomatis dan Notifikasi Real-time pada Infrastruktur Jaringan RT/RW OlalaOlele.Net</t>
  </si>
  <si>
    <t>Ir. Alif Catur Murti, S.Kom., M.Kom</t>
  </si>
  <si>
    <t>11.00 - 12.00</t>
  </si>
  <si>
    <t>MUHAMMAD ROKHIBUL ILMI</t>
  </si>
  <si>
    <t>RANCANG BANGUN APLIKASI TOP-UP GAME BERBASIS WEB MENGGUNAKAN LARAVEL DAN INTEGRASI PAYMENT GATEWAY MIDTRANS</t>
  </si>
  <si>
    <t>Dr. Anastasya Latubessy, S.Kom., M.Cs</t>
  </si>
  <si>
    <t>Esti Wijayanti, S.Kom., M.Kom</t>
  </si>
  <si>
    <t>J.4.03</t>
  </si>
  <si>
    <t>DANI NOOR RIDLO</t>
  </si>
  <si>
    <t>PENGEMBANGAN SISTEM KLASIFIKASI RISIKO DEPRESI DAN ME/CFS BERBASIS MACHINE LEARNING MENGGUNAKAN ALGORITMA RANDOM FOREST</t>
  </si>
  <si>
    <t>MUHAMMAD FICKY ZULFIKAR</t>
  </si>
  <si>
    <t>DESAIN ANTARMUKA WEB RESPONSIF UNTUK SISTEM MANAJEMEN PRODUK DAN PENJUALAN DI KONVEKSI ZAHFY COLLECTION</t>
  </si>
  <si>
    <t>SITI NUR FAIZA</t>
  </si>
  <si>
    <t>SISTEM INFORMASI POSYANDU DIGITAL UNTUK EFISIENSI PENCATATAN DAN PELAPORAN KESEHATAN MASYARAKAT (STUDI KASUS DESA MANTINGAN, REMBANG)</t>
  </si>
  <si>
    <t>Ir. Indra Lina Putra, S.Kom., M.Kom</t>
  </si>
  <si>
    <t>12.00 - 13.00</t>
  </si>
  <si>
    <t>SAFRINA TASYA NIRMALA</t>
  </si>
  <si>
    <t>SISTEM INFORMASI PENYEWAAN BOX SESERAHAN DAN KEBAYA PENGANTIN BERBASIS WEBSITE (STUDI KASUS : SESERAHAN QITA)</t>
  </si>
  <si>
    <t>Evanita, S.Kom., M.Kom</t>
  </si>
  <si>
    <t>13.00 - 14.00</t>
  </si>
  <si>
    <t>M ABDULLAH FAQIH</t>
  </si>
  <si>
    <t>PERANCANGAN SISTEM APLIKASI BANK SAMPAH BERBASIS WEB DI DESA KEDUNGSARIMULYO</t>
  </si>
  <si>
    <t>Senin, 13 Juli 2026</t>
  </si>
  <si>
    <t>J.4.10</t>
  </si>
  <si>
    <t>M RAFLI MAULANA</t>
  </si>
  <si>
    <t>PENGEMBANGAN SISTEM APLIKASI UNTUK MENINGKATKAN EFISIENSI LAYANAN JASA DESIGN &amp; DIGITAL PRINTING DI MURIA DIGITAL PRINTING BERBASIS WEBSITE</t>
  </si>
  <si>
    <t>Dr. Ahmad Jazuli, S.Kom., M.Kom</t>
  </si>
  <si>
    <t>DHIA AHMAD ARYA SHAH</t>
  </si>
  <si>
    <t>PERANCANGAN UI/UX APLIKASI MANAJEMEN EVENT WEDDING ORGANIZER BERBASIS WEBSITE</t>
  </si>
  <si>
    <t>AHMAD HUDA ARIFIN</t>
  </si>
  <si>
    <t>RANCANG BANGUN SISTEM INFORMASI DATABASE KADER HIMPUNAN MAHASISWA ISLAM BERBASIS WEB</t>
  </si>
  <si>
    <t>Tri Listyorini, S.Kom., M.Kom</t>
  </si>
  <si>
    <t>Endang Supriyati, S.Kom., M.Kom</t>
  </si>
  <si>
    <t>AHMAD JUNAEDI</t>
  </si>
  <si>
    <t>SISTEM PAKAR DIAGNOSA PENYAKIT IKAN CHANNA BERBASIS WEBSITE MENGGUNAKAN METODE FORWARD CHAINING (STUDI KASUS TOKO IKAN HIAS AJUN AQUATIC)</t>
  </si>
  <si>
    <t>NAZHAT AFZA ZAIN</t>
  </si>
  <si>
    <t>IMPLEMENTASI ALGORITMA CONVOLUTIONAL NEURAL NETWORK (CNN) UNTUK KLASIFIKASI JENIS SAMPAH PLASTIK BERBASIS ANDROID MENGGUNAKAN FRAMEWORK FLUTTER</t>
  </si>
  <si>
    <t>Selasa, 21 Juli 2026</t>
  </si>
  <si>
    <t>MUHAMMAD RICHO SETIAWAN</t>
  </si>
  <si>
    <t>KLASIFIKASI BAHASA ISYARAT BERBASIS CONVOLUTIONAL NEURAL NETWORK</t>
  </si>
  <si>
    <t xml:space="preserve">09.00 - 10.00 </t>
  </si>
  <si>
    <t>Tika Sofia Maulidia</t>
  </si>
  <si>
    <t>Pemanfaatan Game Development Framework Pada Roblox Untuk Pembuatan Game Edukasi</t>
  </si>
  <si>
    <t>MUHAMMAD LUTHFI AZIZI</t>
  </si>
  <si>
    <t>APLIKASI PENDAFTARAN DAN MONITORING CAPAIAN BELAJAR ANAK PADA BIMBINGAN BELAJAR (BIMBEL) RUMAHAN GESANG165 BERBASIS WEB</t>
  </si>
  <si>
    <t>ARDIAN ANGGIE PRAMUDYA</t>
  </si>
  <si>
    <t>IMPLEMENTASI NAIVE BAYES UNTUK KLASIFIKASI SENTIMEN PADA KONTEN EDUKASI VIRTUAL INFLUENCER PEMERINTAH (SHINNA FAULTLINE - STAGE OF GOWA)</t>
  </si>
  <si>
    <t>EKO JOKO SURYANTO</t>
  </si>
  <si>
    <t>APLIKASI BENTARA (BASIS EVALUASI DAN TRANSPARANSI ANGGARAN SEKOLAH) PADA DINAS PENDIDIKAN DAN KEBUDAYAAN TRANGKIL</t>
  </si>
  <si>
    <t>NAYYA FATIMATAZZAHROH</t>
  </si>
  <si>
    <t>PERANCANGAN APLIKASI PENGOLAHAN NILAI DAN RAPOR DIGITAL BERBASIS WEBSITE STUDI KASUS : MI NU HIDAYATUL MUSTAFIDIN</t>
  </si>
  <si>
    <t>Senin, 20 Juli 2026</t>
  </si>
  <si>
    <t>J.4.12</t>
  </si>
  <si>
    <t>ALFIAN LAKSMANA PUTRA</t>
  </si>
  <si>
    <t>APLIKASI SIPANDA (SISTEM INFORMASI PRASARANA DAN ASET PENDIDIKAN) PADA DINAS PENDIDIKAN DAN KEBUDAYAAN KECAMATAN TRANGKIL</t>
  </si>
  <si>
    <t>ADITIA RIZKY UTAMA</t>
  </si>
  <si>
    <t>RANCANG BANGUN SISTEM INFORMASI MANAJEMEN POINT OF SALE (POS) DENGAN MENGGUNAKAN METODE AGILE DEVELOPMENT SCRUM (STUDI KASUS: TOKO GUNUNG MURIA GROSIR SNACK KUDUS)</t>
  </si>
  <si>
    <t>ZULFIAN FAQIH RAHMANDA</t>
  </si>
  <si>
    <t>SIMORU: SISTEM INFORMASI MANAJEMEN DAN MONITORING GURU PADA DINAS PENDIDIKAN DAN KEBUDAYAAN KECAMATAN TRANGKIL</t>
  </si>
  <si>
    <t>MUHAMMAD IQBAL MAULANA</t>
  </si>
  <si>
    <t>KLASIFIKASI ADUAN MASYARAKAT PADA DPRD KOTA KUDUS MENGGUNAKAN METODE NAIVE BAYES</t>
  </si>
  <si>
    <t>Ir. Muhammad Imam Ghozali, S.Kom., M.Kom</t>
  </si>
  <si>
    <t>Dr. Ir. Wibowo Harry Sugiharto, S.Kom., M.Kom</t>
  </si>
  <si>
    <t>MOHAMMAD BURHANUL MUSTHOFA</t>
  </si>
  <si>
    <t>PENGEMBANGAN PLATFORM E-COMMERCE PARFUM LUXUEXPERFUME DENGAN INTEGRASI TRIPAY PAYMENT GATEWAY DAN SISTEM PELACAKAN PENGIRIMAN BERBASIS WEB</t>
  </si>
  <si>
    <t>MUHAMMAD ZHAHARSYAH AKBAR</t>
  </si>
  <si>
    <t>PEMANFAATAN KECERDASAN BUATAN BERBASIS WORKFLOW AUTOMATION UNTUK MENDUKUNG PELAYANAN PELANGGAN PADA E-COMMERCE LUXUEXPERFUME</t>
  </si>
  <si>
    <t>MUHAMMAD ABDUL AZIZ</t>
  </si>
  <si>
    <t>PENERAPAN NATURAL LANGUAGE PROCESSING UNTUK ANALISIS ULASAN KONSUMEN SEBAGAI DASAR PENGEMBANGAN PRODUK PARFUM LUXUEXPERFUME</t>
  </si>
  <si>
    <t>Nama</t>
  </si>
  <si>
    <t>Jumlah Ujian</t>
  </si>
  <si>
    <t>Jurnal</t>
  </si>
  <si>
    <t>Ujian</t>
  </si>
  <si>
    <t>Jumlah Meluluskan</t>
  </si>
  <si>
    <t>Dr. Ahmad Abdul Chamid, S.Kom., M.Kom.</t>
  </si>
  <si>
    <t>QATRHUNNADA ABIYU AKHDAN</t>
  </si>
  <si>
    <t>WEB-BASED CUSTOMER LOYALTY POINT SYSTEM USING QR CODE WITH WHATSAPP NOTIFICATION AND REWARD MANAGEMENT AT BISMOLE ELEKTRIK STORE</t>
  </si>
  <si>
    <t>Dr. Ahmad Abdul Chamid,S.Kom., M.Kom</t>
  </si>
  <si>
    <t>Selasa, 14 Juli 2026</t>
  </si>
  <si>
    <t>11.00 - 11.30</t>
  </si>
  <si>
    <t>ROSVIKA DWI UMANISTI</t>
  </si>
  <si>
    <t>SMART VIRTUAL GUIDE: CHATBOT CERDAS SISTEM INFORMASI GOA TERAWANG DENGAN ANALISIS USER ADOPTION</t>
  </si>
  <si>
    <t>Rizkysari Mei Maharani, S.Kom., M.Kom</t>
  </si>
  <si>
    <t>11.30 - 12.00</t>
  </si>
  <si>
    <t>ARYA YUDHA ANANTA WIJAYA</t>
  </si>
  <si>
    <t>PENGEMBANGAN MODUL EVALUASI USER EXPERIENCE QUESTIONNAIRE APLIKASI KASIR MOBILE BERBASIS FLUTTER</t>
  </si>
  <si>
    <t>12.30 - 13.00</t>
  </si>
  <si>
    <t>SYAHRUL MAHENDRA SAPUTRA</t>
  </si>
  <si>
    <t>RANCANG BANGUN SISTEM PENYEWAAN SARANA DAN PRASARANA OLAHRAGA BERBASIS WEB PADA DINAS PENDIDIKAN, KEPEMUDAAN, DAN OLAHRAGA KABUPATEN KUDUS</t>
  </si>
  <si>
    <t>Dr. Rina Fiati, S.T., M.Cs</t>
  </si>
  <si>
    <t>FAIZA NISARDIKA ANGGITA FRIDANI</t>
  </si>
  <si>
    <t>ANALISIS DAN PENERAPAN SISTEM INFORMASI MANAGEMEN BERBASIS WEB DI FAFA LAUNDRY</t>
  </si>
  <si>
    <t>12.00 - 12.30</t>
  </si>
  <si>
    <t>IZZATUL HUSNA ZULFANNISA</t>
  </si>
  <si>
    <t>DESIGNING A WEBSITE-BASED INTERNET BILLING SYSTEM WITH WHATSAPP PAYMENT NOTIFICATIONS</t>
  </si>
  <si>
    <t>Langsung Pemberkasan</t>
  </si>
  <si>
    <t xml:space="preserve">INTAN NOVIYANTI </t>
  </si>
  <si>
    <t xml:space="preserve">KLASIFIKASI MUTU TOMAT DAN POTENSI UMUR SIMPAN BERDASARKAN FITUR WARNA-TEKSTUR MENGGUNAKAN RANDOM FOREST </t>
  </si>
  <si>
    <t>Tanggal Pendaftaran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</si>
</sst>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Roboto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FF0000"/>
      <name val="Arial"/>
    </font>
    <font>
      <sz val="10"/>
      <color rgb="FF000000"/>
      <name val="Arial"/>
      <scheme val="minor"/>
    </font>
    <font>
      <sz val="10"/>
      <color rgb="FFFFFF00"/>
      <name val="Arial"/>
    </font>
    <font>
      <sz val="10"/>
      <color rgb="FFFFFF00"/>
      <name val="Roboto"/>
    </font>
    <font>
      <sz val="10"/>
      <color rgb="FFFFFF00"/>
      <name val="Arial"/>
      <scheme val="minor"/>
    </font>
    <font>
      <sz val="10"/>
      <color rgb="FFFFFF00"/>
      <name val="Arial"/>
    </font>
    <font>
      <sz val="10"/>
      <color rgb="FF000000"/>
      <name val="Roboto"/>
    </font>
    <font>
      <b/>
      <sz val="10"/>
      <color theme="1"/>
      <name val="Arial"/>
      <scheme val="minor"/>
    </font>
    <font>
      <sz val="12"/>
      <color rgb="FF000000"/>
      <name val="Calibri"/>
    </font>
    <font>
      <b/>
      <sz val="10"/>
      <color theme="1"/>
      <name val="Arial"/>
    </font>
    <font>
      <sz val="10"/>
      <color rgb="FFFF0000"/>
      <name val="Roboto"/>
    </font>
    <font>
      <sz val="10"/>
      <color rgb="FFFF0000"/>
      <name val="Roboto"/>
    </font>
    <font>
      <sz val="10"/>
      <color rgb="FFFF0000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3" xfId="0" applyFont="1" applyFill="1" applyBorder="1"/>
    <xf numFmtId="0" fontId="5" fillId="2" borderId="0" xfId="0" applyFont="1" applyFill="1"/>
    <xf numFmtId="0" fontId="3" fillId="2" borderId="1" xfId="0" applyFont="1" applyFill="1" applyBorder="1" applyAlignment="1">
      <alignment horizontal="right"/>
    </xf>
    <xf numFmtId="0" fontId="5" fillId="2" borderId="2" xfId="0" applyFont="1" applyFill="1" applyBorder="1"/>
    <xf numFmtId="0" fontId="5" fillId="2" borderId="3" xfId="0" applyFont="1" applyFill="1" applyBorder="1"/>
    <xf numFmtId="0" fontId="6" fillId="2" borderId="1" xfId="0" applyFont="1" applyFill="1" applyBorder="1" applyAlignment="1">
      <alignment horizontal="left"/>
    </xf>
    <xf numFmtId="0" fontId="4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5" fillId="3" borderId="0" xfId="0" applyFont="1" applyFill="1"/>
    <xf numFmtId="0" fontId="6" fillId="3" borderId="1" xfId="0" applyFont="1" applyFill="1" applyBorder="1" applyAlignment="1">
      <alignment horizontal="left"/>
    </xf>
    <xf numFmtId="0" fontId="4" fillId="3" borderId="2" xfId="0" applyFont="1" applyFill="1" applyBorder="1"/>
    <xf numFmtId="0" fontId="4" fillId="3" borderId="3" xfId="0" applyFont="1" applyFill="1" applyBorder="1"/>
    <xf numFmtId="0" fontId="6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5" fillId="4" borderId="0" xfId="0" applyFont="1" applyFill="1"/>
    <xf numFmtId="0" fontId="2" fillId="4" borderId="1" xfId="0" applyFont="1" applyFill="1" applyBorder="1" applyAlignment="1">
      <alignment horizontal="left" vertical="center"/>
    </xf>
    <xf numFmtId="0" fontId="5" fillId="4" borderId="2" xfId="0" applyFont="1" applyFill="1" applyBorder="1"/>
    <xf numFmtId="0" fontId="5" fillId="4" borderId="3" xfId="0" applyFont="1" applyFill="1" applyBorder="1"/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5" fillId="3" borderId="2" xfId="0" applyFont="1" applyFill="1" applyBorder="1"/>
    <xf numFmtId="0" fontId="5" fillId="3" borderId="3" xfId="0" applyFont="1" applyFill="1" applyBorder="1"/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0" fontId="10" fillId="5" borderId="1" xfId="0" applyFont="1" applyFill="1" applyBorder="1"/>
    <xf numFmtId="0" fontId="11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11" fillId="5" borderId="0" xfId="0" applyFont="1" applyFill="1"/>
    <xf numFmtId="0" fontId="1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3" fillId="6" borderId="1" xfId="0" applyFont="1" applyFill="1" applyBorder="1"/>
    <xf numFmtId="0" fontId="8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4" fillId="6" borderId="0" xfId="0" applyFont="1" applyFill="1"/>
    <xf numFmtId="0" fontId="5" fillId="6" borderId="0" xfId="0" applyFont="1" applyFill="1"/>
    <xf numFmtId="0" fontId="6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8" fillId="7" borderId="1" xfId="0" applyFont="1" applyFill="1" applyBorder="1"/>
    <xf numFmtId="0" fontId="8" fillId="7" borderId="1" xfId="0" applyFont="1" applyFill="1" applyBorder="1" applyAlignment="1">
      <alignment horizontal="center"/>
    </xf>
    <xf numFmtId="0" fontId="5" fillId="7" borderId="0" xfId="0" applyFont="1" applyFill="1"/>
    <xf numFmtId="0" fontId="6" fillId="7" borderId="1" xfId="0" applyFont="1" applyFill="1" applyBorder="1" applyAlignment="1">
      <alignment horizontal="left"/>
    </xf>
    <xf numFmtId="0" fontId="3" fillId="7" borderId="1" xfId="0" applyFont="1" applyFill="1" applyBorder="1"/>
    <xf numFmtId="0" fontId="13" fillId="7" borderId="1" xfId="0" applyFont="1" applyFill="1" applyBorder="1"/>
    <xf numFmtId="0" fontId="4" fillId="7" borderId="0" xfId="0" applyFont="1" applyFill="1"/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vertical="center"/>
    </xf>
    <xf numFmtId="0" fontId="3" fillId="8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4" fillId="8" borderId="0" xfId="0" applyFont="1" applyFill="1"/>
    <xf numFmtId="0" fontId="5" fillId="8" borderId="0" xfId="0" applyFont="1" applyFill="1"/>
    <xf numFmtId="0" fontId="6" fillId="8" borderId="1" xfId="0" applyFont="1" applyFill="1" applyBorder="1" applyAlignment="1">
      <alignment horizontal="left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5" fillId="0" borderId="1" xfId="0" applyFont="1" applyBorder="1"/>
    <xf numFmtId="0" fontId="14" fillId="0" borderId="1" xfId="0" applyFont="1" applyBorder="1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11" borderId="0" xfId="0" applyFont="1" applyFill="1"/>
    <xf numFmtId="0" fontId="2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/>
    <xf numFmtId="0" fontId="5" fillId="9" borderId="0" xfId="0" applyFont="1" applyFill="1"/>
    <xf numFmtId="0" fontId="2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12" borderId="0" xfId="0" applyFont="1" applyFill="1"/>
    <xf numFmtId="0" fontId="3" fillId="12" borderId="1" xfId="0" applyFont="1" applyFill="1" applyBorder="1"/>
    <xf numFmtId="0" fontId="5" fillId="12" borderId="1" xfId="0" applyFont="1" applyFill="1" applyBorder="1" applyAlignment="1">
      <alignment horizontal="center"/>
    </xf>
    <xf numFmtId="0" fontId="5" fillId="12" borderId="1" xfId="0" applyFont="1" applyFill="1" applyBorder="1"/>
    <xf numFmtId="0" fontId="15" fillId="13" borderId="1" xfId="0" applyFont="1" applyFill="1" applyBorder="1"/>
    <xf numFmtId="0" fontId="5" fillId="13" borderId="1" xfId="0" applyFont="1" applyFill="1" applyBorder="1" applyAlignment="1">
      <alignment horizontal="center"/>
    </xf>
    <xf numFmtId="0" fontId="3" fillId="13" borderId="1" xfId="0" applyFont="1" applyFill="1" applyBorder="1"/>
    <xf numFmtId="0" fontId="2" fillId="13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19" fillId="2" borderId="0" xfId="0" applyFont="1" applyFill="1"/>
    <xf numFmtId="0" fontId="19" fillId="2" borderId="2" xfId="0" applyFont="1" applyFill="1" applyBorder="1"/>
    <xf numFmtId="0" fontId="19" fillId="2" borderId="3" xfId="0" applyFont="1" applyFill="1" applyBorder="1"/>
    <xf numFmtId="0" fontId="4" fillId="14" borderId="1" xfId="0" applyFont="1" applyFill="1" applyBorder="1"/>
    <xf numFmtId="0" fontId="4" fillId="14" borderId="1" xfId="0" applyFont="1" applyFill="1" applyBorder="1" applyAlignment="1">
      <alignment vertical="center"/>
    </xf>
    <xf numFmtId="0" fontId="3" fillId="14" borderId="1" xfId="0" applyFont="1" applyFill="1" applyBorder="1"/>
    <xf numFmtId="0" fontId="13" fillId="14" borderId="1" xfId="0" applyFont="1" applyFill="1" applyBorder="1"/>
    <xf numFmtId="0" fontId="5" fillId="14" borderId="1" xfId="0" applyFont="1" applyFill="1" applyBorder="1"/>
    <xf numFmtId="0" fontId="2" fillId="14" borderId="1" xfId="0" applyFont="1" applyFill="1" applyBorder="1"/>
    <xf numFmtId="0" fontId="5" fillId="14" borderId="0" xfId="0" applyFont="1" applyFill="1"/>
    <xf numFmtId="0" fontId="4" fillId="13" borderId="1" xfId="0" applyFont="1" applyFill="1" applyBorder="1"/>
    <xf numFmtId="0" fontId="4" fillId="13" borderId="1" xfId="0" applyFont="1" applyFill="1" applyBorder="1" applyAlignment="1">
      <alignment vertical="center"/>
    </xf>
    <xf numFmtId="0" fontId="13" fillId="13" borderId="1" xfId="0" applyFont="1" applyFill="1" applyBorder="1"/>
    <xf numFmtId="0" fontId="8" fillId="13" borderId="1" xfId="0" applyFont="1" applyFill="1" applyBorder="1"/>
    <xf numFmtId="0" fontId="5" fillId="15" borderId="1" xfId="0" applyFont="1" applyFill="1" applyBorder="1"/>
    <xf numFmtId="0" fontId="4" fillId="13" borderId="0" xfId="0" applyFont="1" applyFill="1"/>
    <xf numFmtId="0" fontId="7" fillId="16" borderId="1" xfId="0" applyFont="1" applyFill="1" applyBorder="1"/>
    <xf numFmtId="0" fontId="7" fillId="16" borderId="1" xfId="0" applyFont="1" applyFill="1" applyBorder="1" applyAlignment="1">
      <alignment vertical="center"/>
    </xf>
    <xf numFmtId="0" fontId="17" fillId="16" borderId="1" xfId="0" applyFont="1" applyFill="1" applyBorder="1"/>
    <xf numFmtId="0" fontId="18" fillId="16" borderId="1" xfId="0" applyFont="1" applyFill="1" applyBorder="1"/>
    <xf numFmtId="0" fontId="19" fillId="16" borderId="1" xfId="0" applyFont="1" applyFill="1" applyBorder="1"/>
    <xf numFmtId="0" fontId="19" fillId="16" borderId="0" xfId="0" applyFont="1" applyFill="1"/>
    <xf numFmtId="0" fontId="7" fillId="13" borderId="1" xfId="0" applyFont="1" applyFill="1" applyBorder="1"/>
    <xf numFmtId="0" fontId="7" fillId="13" borderId="1" xfId="0" applyFont="1" applyFill="1" applyBorder="1" applyAlignment="1">
      <alignment vertical="center"/>
    </xf>
    <xf numFmtId="0" fontId="17" fillId="13" borderId="1" xfId="0" applyFont="1" applyFill="1" applyBorder="1"/>
    <xf numFmtId="0" fontId="18" fillId="13" borderId="1" xfId="0" applyFont="1" applyFill="1" applyBorder="1"/>
    <xf numFmtId="0" fontId="19" fillId="13" borderId="1" xfId="0" applyFont="1" applyFill="1" applyBorder="1"/>
    <xf numFmtId="0" fontId="19" fillId="13" borderId="0" xfId="0" applyFont="1" applyFill="1"/>
    <xf numFmtId="0" fontId="4" fillId="0" borderId="0" xfId="0" applyFont="1" applyAlignment="1">
      <alignment vertical="center"/>
    </xf>
    <xf numFmtId="0" fontId="5" fillId="0" borderId="0" xfId="0" applyFont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2"/>
  <sheetViews>
    <sheetView workbookViewId="0"/>
  </sheetViews>
  <sheetFormatPr defaultColWidth="12.5703125" defaultRowHeight="15" customHeight="1" x14ac:dyDescent="0.2"/>
  <cols>
    <col min="1" max="1" width="20.42578125" bestFit="1" customWidth="1"/>
    <col min="2" max="2" width="9.42578125" customWidth="1"/>
    <col min="3" max="3" width="38.140625" customWidth="1"/>
    <col min="4" max="4" width="167.7109375" customWidth="1"/>
    <col min="5" max="5" width="34.42578125" customWidth="1"/>
    <col min="6" max="8" width="36.140625" customWidth="1"/>
    <col min="9" max="9" width="35" customWidth="1"/>
    <col min="10" max="10" width="26.5703125" customWidth="1"/>
    <col min="11" max="11" width="16" customWidth="1"/>
    <col min="12" max="12" width="14.85546875" customWidth="1"/>
    <col min="13" max="13" width="16.42578125" customWidth="1"/>
  </cols>
  <sheetData>
    <row r="1" spans="1:25" ht="15.75" customHeight="1" x14ac:dyDescent="0.2">
      <c r="A1" s="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25" ht="12.75" x14ac:dyDescent="0.2">
      <c r="A2" s="2"/>
      <c r="B2" s="3">
        <v>202251146</v>
      </c>
      <c r="C2" s="4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5" t="s">
        <v>16</v>
      </c>
      <c r="I2" s="4" t="s">
        <v>13</v>
      </c>
      <c r="J2" s="4" t="s">
        <v>17</v>
      </c>
      <c r="K2" s="4" t="s">
        <v>18</v>
      </c>
      <c r="L2" s="6" t="s">
        <v>19</v>
      </c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</row>
    <row r="3" spans="1:25" ht="15" customHeight="1" x14ac:dyDescent="0.2">
      <c r="A3" s="2"/>
      <c r="B3" s="10">
        <v>202251016</v>
      </c>
      <c r="C3" s="5" t="s">
        <v>20</v>
      </c>
      <c r="D3" s="5" t="s">
        <v>21</v>
      </c>
      <c r="E3" s="5" t="s">
        <v>13</v>
      </c>
      <c r="F3" s="5" t="s">
        <v>22</v>
      </c>
      <c r="G3" s="4" t="s">
        <v>15</v>
      </c>
      <c r="H3" s="5" t="s">
        <v>16</v>
      </c>
      <c r="I3" s="5" t="s">
        <v>13</v>
      </c>
      <c r="J3" s="4" t="s">
        <v>17</v>
      </c>
      <c r="K3" s="4" t="s">
        <v>23</v>
      </c>
      <c r="L3" s="6" t="s">
        <v>19</v>
      </c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9"/>
    </row>
    <row r="4" spans="1:25" ht="15.75" customHeight="1" x14ac:dyDescent="0.2">
      <c r="A4" s="2"/>
      <c r="B4" s="13">
        <v>201951110</v>
      </c>
      <c r="C4" s="5" t="s">
        <v>24</v>
      </c>
      <c r="D4" s="5" t="s">
        <v>25</v>
      </c>
      <c r="E4" s="5" t="s">
        <v>16</v>
      </c>
      <c r="F4" s="5" t="s">
        <v>26</v>
      </c>
      <c r="G4" s="5" t="s">
        <v>15</v>
      </c>
      <c r="H4" s="5" t="s">
        <v>27</v>
      </c>
      <c r="I4" s="5" t="s">
        <v>16</v>
      </c>
      <c r="J4" s="4" t="s">
        <v>17</v>
      </c>
      <c r="K4" s="4" t="s">
        <v>28</v>
      </c>
      <c r="L4" s="6" t="s">
        <v>19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9"/>
    </row>
    <row r="5" spans="1:25" ht="12.75" x14ac:dyDescent="0.2">
      <c r="A5" s="2"/>
      <c r="B5" s="3">
        <v>202251163</v>
      </c>
      <c r="C5" s="4" t="s">
        <v>29</v>
      </c>
      <c r="D5" s="4" t="s">
        <v>30</v>
      </c>
      <c r="E5" s="4" t="s">
        <v>16</v>
      </c>
      <c r="F5" s="4" t="s">
        <v>31</v>
      </c>
      <c r="G5" s="4" t="s">
        <v>15</v>
      </c>
      <c r="H5" s="5" t="s">
        <v>27</v>
      </c>
      <c r="I5" s="4" t="s">
        <v>16</v>
      </c>
      <c r="J5" s="4" t="s">
        <v>17</v>
      </c>
      <c r="K5" s="4" t="s">
        <v>32</v>
      </c>
      <c r="L5" s="6" t="s">
        <v>19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5.75" customHeight="1" x14ac:dyDescent="0.2">
      <c r="A6" s="2"/>
      <c r="B6" s="15">
        <v>202251081</v>
      </c>
      <c r="C6" s="16" t="s">
        <v>33</v>
      </c>
      <c r="D6" s="16" t="s">
        <v>34</v>
      </c>
      <c r="E6" s="16" t="s">
        <v>35</v>
      </c>
      <c r="F6" s="16" t="s">
        <v>15</v>
      </c>
      <c r="G6" s="17" t="s">
        <v>22</v>
      </c>
      <c r="H6" s="16" t="s">
        <v>36</v>
      </c>
      <c r="I6" s="16" t="s">
        <v>35</v>
      </c>
      <c r="J6" s="16" t="s">
        <v>17</v>
      </c>
      <c r="K6" s="16" t="s">
        <v>18</v>
      </c>
      <c r="L6" s="18" t="s">
        <v>37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15.75" customHeight="1" x14ac:dyDescent="0.2">
      <c r="A7" s="2"/>
      <c r="B7" s="20">
        <v>202251157</v>
      </c>
      <c r="C7" s="17" t="s">
        <v>38</v>
      </c>
      <c r="D7" s="17" t="s">
        <v>39</v>
      </c>
      <c r="E7" s="17" t="s">
        <v>35</v>
      </c>
      <c r="F7" s="17" t="s">
        <v>15</v>
      </c>
      <c r="G7" s="17" t="s">
        <v>22</v>
      </c>
      <c r="H7" s="16" t="s">
        <v>36</v>
      </c>
      <c r="I7" s="17" t="s">
        <v>35</v>
      </c>
      <c r="J7" s="16" t="s">
        <v>17</v>
      </c>
      <c r="K7" s="16" t="s">
        <v>23</v>
      </c>
      <c r="L7" s="18" t="s">
        <v>37</v>
      </c>
      <c r="M7" s="21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19"/>
    </row>
    <row r="8" spans="1:25" ht="15.75" customHeight="1" x14ac:dyDescent="0.2">
      <c r="A8" s="2"/>
      <c r="B8" s="20">
        <v>202251014</v>
      </c>
      <c r="C8" s="17" t="s">
        <v>40</v>
      </c>
      <c r="D8" s="17" t="s">
        <v>41</v>
      </c>
      <c r="E8" s="17" t="s">
        <v>35</v>
      </c>
      <c r="F8" s="17" t="s">
        <v>15</v>
      </c>
      <c r="G8" s="17" t="s">
        <v>22</v>
      </c>
      <c r="H8" s="16" t="s">
        <v>36</v>
      </c>
      <c r="I8" s="17" t="s">
        <v>35</v>
      </c>
      <c r="J8" s="16" t="s">
        <v>17</v>
      </c>
      <c r="K8" s="16" t="s">
        <v>28</v>
      </c>
      <c r="L8" s="18" t="s">
        <v>37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5.75" customHeight="1" x14ac:dyDescent="0.2">
      <c r="A9" s="2"/>
      <c r="B9" s="20">
        <v>202251226</v>
      </c>
      <c r="C9" s="17" t="s">
        <v>42</v>
      </c>
      <c r="D9" s="17" t="s">
        <v>43</v>
      </c>
      <c r="E9" s="17" t="s">
        <v>27</v>
      </c>
      <c r="F9" s="17" t="s">
        <v>44</v>
      </c>
      <c r="G9" s="17" t="s">
        <v>35</v>
      </c>
      <c r="H9" s="17" t="s">
        <v>26</v>
      </c>
      <c r="I9" s="17" t="s">
        <v>27</v>
      </c>
      <c r="J9" s="16" t="s">
        <v>17</v>
      </c>
      <c r="K9" s="16" t="s">
        <v>45</v>
      </c>
      <c r="L9" s="18" t="s">
        <v>37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5.75" customHeight="1" x14ac:dyDescent="0.2">
      <c r="A10" s="2"/>
      <c r="B10" s="15">
        <v>202251229</v>
      </c>
      <c r="C10" s="16" t="s">
        <v>46</v>
      </c>
      <c r="D10" s="16" t="s">
        <v>47</v>
      </c>
      <c r="E10" s="16" t="s">
        <v>27</v>
      </c>
      <c r="F10" s="16" t="s">
        <v>48</v>
      </c>
      <c r="G10" s="17" t="s">
        <v>35</v>
      </c>
      <c r="H10" s="17" t="s">
        <v>26</v>
      </c>
      <c r="I10" s="16" t="s">
        <v>27</v>
      </c>
      <c r="J10" s="16" t="s">
        <v>17</v>
      </c>
      <c r="K10" s="16" t="s">
        <v>49</v>
      </c>
      <c r="L10" s="18" t="s">
        <v>37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5.75" customHeight="1" x14ac:dyDescent="0.2">
      <c r="A11" s="2"/>
      <c r="B11" s="23">
        <v>202051139</v>
      </c>
      <c r="C11" s="24" t="s">
        <v>50</v>
      </c>
      <c r="D11" s="24" t="s">
        <v>51</v>
      </c>
      <c r="E11" s="24" t="s">
        <v>15</v>
      </c>
      <c r="F11" s="24" t="s">
        <v>36</v>
      </c>
      <c r="G11" s="25" t="s">
        <v>48</v>
      </c>
      <c r="H11" s="25" t="s">
        <v>13</v>
      </c>
      <c r="I11" s="24" t="s">
        <v>15</v>
      </c>
      <c r="J11" s="24" t="s">
        <v>52</v>
      </c>
      <c r="K11" s="24" t="s">
        <v>32</v>
      </c>
      <c r="L11" s="26" t="s">
        <v>53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spans="1:25" ht="15.75" customHeight="1" x14ac:dyDescent="0.2">
      <c r="A12" s="2"/>
      <c r="B12" s="28">
        <v>202151120</v>
      </c>
      <c r="C12" s="25" t="s">
        <v>54</v>
      </c>
      <c r="D12" s="25" t="s">
        <v>55</v>
      </c>
      <c r="E12" s="25" t="s">
        <v>15</v>
      </c>
      <c r="F12" s="25" t="s">
        <v>56</v>
      </c>
      <c r="G12" s="25" t="s">
        <v>48</v>
      </c>
      <c r="H12" s="25" t="s">
        <v>13</v>
      </c>
      <c r="I12" s="25" t="s">
        <v>15</v>
      </c>
      <c r="J12" s="24" t="s">
        <v>52</v>
      </c>
      <c r="K12" s="25" t="s">
        <v>45</v>
      </c>
      <c r="L12" s="26" t="s">
        <v>53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5" ht="15.75" customHeight="1" x14ac:dyDescent="0.2">
      <c r="A13" s="2"/>
      <c r="B13" s="23">
        <v>202051046</v>
      </c>
      <c r="C13" s="24" t="s">
        <v>57</v>
      </c>
      <c r="D13" s="24" t="s">
        <v>58</v>
      </c>
      <c r="E13" s="24" t="s">
        <v>15</v>
      </c>
      <c r="F13" s="24" t="s">
        <v>14</v>
      </c>
      <c r="G13" s="25" t="s">
        <v>48</v>
      </c>
      <c r="H13" s="25" t="s">
        <v>13</v>
      </c>
      <c r="I13" s="24" t="s">
        <v>15</v>
      </c>
      <c r="J13" s="24" t="s">
        <v>52</v>
      </c>
      <c r="K13" s="24" t="s">
        <v>28</v>
      </c>
      <c r="L13" s="26" t="s">
        <v>53</v>
      </c>
      <c r="M13" s="29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27"/>
    </row>
    <row r="14" spans="1:25" ht="15.75" customHeight="1" x14ac:dyDescent="0.2">
      <c r="A14" s="2"/>
      <c r="B14" s="20">
        <v>202251080</v>
      </c>
      <c r="C14" s="17" t="s">
        <v>59</v>
      </c>
      <c r="D14" s="17" t="s">
        <v>60</v>
      </c>
      <c r="E14" s="17" t="s">
        <v>61</v>
      </c>
      <c r="F14" s="17" t="s">
        <v>62</v>
      </c>
      <c r="G14" s="16" t="s">
        <v>15</v>
      </c>
      <c r="H14" s="31" t="s">
        <v>44</v>
      </c>
      <c r="I14" s="17" t="s">
        <v>61</v>
      </c>
      <c r="J14" s="17" t="s">
        <v>52</v>
      </c>
      <c r="K14" s="32" t="s">
        <v>18</v>
      </c>
      <c r="L14" s="18" t="s">
        <v>37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5.75" customHeight="1" x14ac:dyDescent="0.2">
      <c r="A15" s="2"/>
      <c r="B15" s="32">
        <v>202051137</v>
      </c>
      <c r="C15" s="32" t="s">
        <v>63</v>
      </c>
      <c r="D15" s="32" t="s">
        <v>64</v>
      </c>
      <c r="E15" s="32" t="s">
        <v>15</v>
      </c>
      <c r="F15" s="32" t="s">
        <v>48</v>
      </c>
      <c r="G15" s="17" t="s">
        <v>61</v>
      </c>
      <c r="H15" s="16" t="s">
        <v>56</v>
      </c>
      <c r="I15" s="32" t="s">
        <v>15</v>
      </c>
      <c r="J15" s="17" t="s">
        <v>52</v>
      </c>
      <c r="K15" s="33" t="s">
        <v>23</v>
      </c>
      <c r="L15" s="18" t="s">
        <v>37</v>
      </c>
      <c r="M15" s="34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19"/>
    </row>
    <row r="16" spans="1:25" ht="15.75" customHeight="1" x14ac:dyDescent="0.2">
      <c r="A16" s="2"/>
      <c r="B16" s="36">
        <v>202251042</v>
      </c>
      <c r="C16" s="37" t="s">
        <v>65</v>
      </c>
      <c r="D16" s="37" t="s">
        <v>66</v>
      </c>
      <c r="E16" s="37" t="s">
        <v>48</v>
      </c>
      <c r="F16" s="37" t="s">
        <v>13</v>
      </c>
      <c r="G16" s="38" t="s">
        <v>15</v>
      </c>
      <c r="H16" s="37" t="s">
        <v>44</v>
      </c>
      <c r="I16" s="37" t="s">
        <v>48</v>
      </c>
      <c r="J16" s="37" t="s">
        <v>67</v>
      </c>
      <c r="K16" s="39" t="s">
        <v>18</v>
      </c>
      <c r="L16" s="40" t="s">
        <v>19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5.75" customHeight="1" x14ac:dyDescent="0.2">
      <c r="A17" s="2"/>
      <c r="B17" s="42">
        <v>202251136</v>
      </c>
      <c r="C17" s="38" t="s">
        <v>68</v>
      </c>
      <c r="D17" s="38" t="s">
        <v>69</v>
      </c>
      <c r="E17" s="38" t="s">
        <v>48</v>
      </c>
      <c r="F17" s="38" t="s">
        <v>22</v>
      </c>
      <c r="G17" s="37" t="s">
        <v>15</v>
      </c>
      <c r="H17" s="37" t="s">
        <v>44</v>
      </c>
      <c r="I17" s="38" t="s">
        <v>48</v>
      </c>
      <c r="J17" s="37" t="s">
        <v>67</v>
      </c>
      <c r="K17" s="39" t="s">
        <v>70</v>
      </c>
      <c r="L17" s="40" t="s">
        <v>19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5.75" customHeight="1" x14ac:dyDescent="0.2">
      <c r="A18" s="2"/>
      <c r="B18" s="39">
        <v>202251097</v>
      </c>
      <c r="C18" s="39" t="s">
        <v>71</v>
      </c>
      <c r="D18" s="39" t="s">
        <v>72</v>
      </c>
      <c r="E18" s="39" t="s">
        <v>48</v>
      </c>
      <c r="F18" s="39" t="s">
        <v>22</v>
      </c>
      <c r="G18" s="38" t="s">
        <v>15</v>
      </c>
      <c r="H18" s="37" t="s">
        <v>44</v>
      </c>
      <c r="I18" s="39" t="s">
        <v>48</v>
      </c>
      <c r="J18" s="37" t="s">
        <v>67</v>
      </c>
      <c r="K18" s="39" t="s">
        <v>45</v>
      </c>
      <c r="L18" s="40" t="s">
        <v>19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15.75" customHeight="1" x14ac:dyDescent="0.2">
      <c r="A19" s="2"/>
      <c r="B19" s="43">
        <v>202051021</v>
      </c>
      <c r="C19" s="44" t="s">
        <v>73</v>
      </c>
      <c r="D19" s="44" t="s">
        <v>74</v>
      </c>
      <c r="E19" s="44" t="s">
        <v>36</v>
      </c>
      <c r="F19" s="44" t="s">
        <v>15</v>
      </c>
      <c r="G19" s="44" t="s">
        <v>22</v>
      </c>
      <c r="H19" s="45" t="s">
        <v>27</v>
      </c>
      <c r="I19" s="44" t="s">
        <v>36</v>
      </c>
      <c r="J19" s="46" t="s">
        <v>67</v>
      </c>
      <c r="K19" s="44" t="s">
        <v>18</v>
      </c>
      <c r="L19" s="47" t="s">
        <v>53</v>
      </c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9"/>
    </row>
    <row r="20" spans="1:25" ht="12.75" x14ac:dyDescent="0.2">
      <c r="A20" s="2"/>
      <c r="B20" s="50">
        <v>202251184</v>
      </c>
      <c r="C20" s="45" t="s">
        <v>75</v>
      </c>
      <c r="D20" s="45" t="s">
        <v>76</v>
      </c>
      <c r="E20" s="45" t="s">
        <v>36</v>
      </c>
      <c r="F20" s="45" t="s">
        <v>48</v>
      </c>
      <c r="G20" s="44" t="s">
        <v>22</v>
      </c>
      <c r="H20" s="45" t="s">
        <v>27</v>
      </c>
      <c r="I20" s="45" t="s">
        <v>36</v>
      </c>
      <c r="J20" s="45" t="s">
        <v>67</v>
      </c>
      <c r="K20" s="46" t="s">
        <v>23</v>
      </c>
      <c r="L20" s="47" t="s">
        <v>53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spans="1:25" ht="12.75" x14ac:dyDescent="0.2">
      <c r="A21" s="2"/>
      <c r="B21" s="50">
        <v>202251222</v>
      </c>
      <c r="C21" s="45" t="s">
        <v>77</v>
      </c>
      <c r="D21" s="45" t="s">
        <v>78</v>
      </c>
      <c r="E21" s="45" t="s">
        <v>36</v>
      </c>
      <c r="F21" s="45" t="s">
        <v>48</v>
      </c>
      <c r="G21" s="44" t="s">
        <v>22</v>
      </c>
      <c r="H21" s="45" t="s">
        <v>27</v>
      </c>
      <c r="I21" s="45" t="s">
        <v>36</v>
      </c>
      <c r="J21" s="45" t="s">
        <v>67</v>
      </c>
      <c r="K21" s="46" t="s">
        <v>28</v>
      </c>
      <c r="L21" s="47" t="s">
        <v>53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spans="1:25" ht="15.75" customHeight="1" x14ac:dyDescent="0.2">
      <c r="A22" s="2"/>
      <c r="B22" s="51">
        <v>202251171</v>
      </c>
      <c r="C22" s="52" t="s">
        <v>79</v>
      </c>
      <c r="D22" s="52" t="s">
        <v>80</v>
      </c>
      <c r="E22" s="52" t="s">
        <v>36</v>
      </c>
      <c r="F22" s="52" t="s">
        <v>27</v>
      </c>
      <c r="G22" s="52" t="s">
        <v>48</v>
      </c>
      <c r="H22" s="52" t="s">
        <v>31</v>
      </c>
      <c r="I22" s="52" t="s">
        <v>36</v>
      </c>
      <c r="J22" s="53" t="s">
        <v>81</v>
      </c>
      <c r="K22" s="53" t="s">
        <v>18</v>
      </c>
      <c r="L22" s="54" t="s">
        <v>82</v>
      </c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spans="1:25" ht="12.75" x14ac:dyDescent="0.2">
      <c r="A23" s="2"/>
      <c r="B23" s="56">
        <v>202251193</v>
      </c>
      <c r="C23" s="57" t="s">
        <v>83</v>
      </c>
      <c r="D23" s="57" t="s">
        <v>84</v>
      </c>
      <c r="E23" s="57" t="s">
        <v>36</v>
      </c>
      <c r="F23" s="57" t="s">
        <v>27</v>
      </c>
      <c r="G23" s="52" t="s">
        <v>48</v>
      </c>
      <c r="H23" s="52" t="s">
        <v>31</v>
      </c>
      <c r="I23" s="57" t="s">
        <v>36</v>
      </c>
      <c r="J23" s="53" t="s">
        <v>81</v>
      </c>
      <c r="K23" s="53" t="s">
        <v>23</v>
      </c>
      <c r="L23" s="54" t="s">
        <v>82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1:25" ht="15.75" customHeight="1" x14ac:dyDescent="0.2">
      <c r="A24" s="2"/>
      <c r="B24" s="51">
        <v>202251156</v>
      </c>
      <c r="C24" s="52" t="s">
        <v>85</v>
      </c>
      <c r="D24" s="52" t="s">
        <v>86</v>
      </c>
      <c r="E24" s="52" t="s">
        <v>44</v>
      </c>
      <c r="F24" s="52" t="s">
        <v>14</v>
      </c>
      <c r="G24" s="52" t="s">
        <v>48</v>
      </c>
      <c r="H24" s="52" t="s">
        <v>36</v>
      </c>
      <c r="I24" s="52" t="s">
        <v>44</v>
      </c>
      <c r="J24" s="53" t="s">
        <v>81</v>
      </c>
      <c r="K24" s="58" t="s">
        <v>28</v>
      </c>
      <c r="L24" s="54" t="s">
        <v>82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5"/>
    </row>
    <row r="25" spans="1:25" ht="12.75" x14ac:dyDescent="0.2">
      <c r="A25" s="2"/>
      <c r="B25" s="56">
        <v>202251205</v>
      </c>
      <c r="C25" s="57" t="s">
        <v>87</v>
      </c>
      <c r="D25" s="57" t="s">
        <v>88</v>
      </c>
      <c r="E25" s="57" t="s">
        <v>36</v>
      </c>
      <c r="F25" s="57" t="s">
        <v>27</v>
      </c>
      <c r="G25" s="52" t="s">
        <v>48</v>
      </c>
      <c r="H25" s="52" t="s">
        <v>44</v>
      </c>
      <c r="I25" s="57" t="s">
        <v>36</v>
      </c>
      <c r="J25" s="53" t="s">
        <v>81</v>
      </c>
      <c r="K25" s="53" t="s">
        <v>32</v>
      </c>
      <c r="L25" s="54" t="s">
        <v>82</v>
      </c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1:25" ht="15.75" customHeight="1" x14ac:dyDescent="0.2">
      <c r="A26" s="2"/>
      <c r="B26" s="60">
        <v>202251022</v>
      </c>
      <c r="C26" s="61" t="s">
        <v>89</v>
      </c>
      <c r="D26" s="61" t="s">
        <v>90</v>
      </c>
      <c r="E26" s="61" t="s">
        <v>91</v>
      </c>
      <c r="F26" s="61" t="s">
        <v>92</v>
      </c>
      <c r="G26" s="62" t="s">
        <v>14</v>
      </c>
      <c r="H26" s="62" t="s">
        <v>62</v>
      </c>
      <c r="I26" s="61" t="s">
        <v>91</v>
      </c>
      <c r="J26" s="61" t="s">
        <v>17</v>
      </c>
      <c r="K26" s="61" t="s">
        <v>23</v>
      </c>
      <c r="L26" s="63" t="s">
        <v>82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5"/>
    </row>
    <row r="27" spans="1:25" ht="15.75" customHeight="1" x14ac:dyDescent="0.2">
      <c r="A27" s="2"/>
      <c r="B27" s="66">
        <v>202251249</v>
      </c>
      <c r="C27" s="62" t="s">
        <v>93</v>
      </c>
      <c r="D27" s="62" t="s">
        <v>94</v>
      </c>
      <c r="E27" s="62" t="s">
        <v>14</v>
      </c>
      <c r="F27" s="62" t="s">
        <v>13</v>
      </c>
      <c r="G27" s="61" t="s">
        <v>91</v>
      </c>
      <c r="H27" s="62" t="s">
        <v>62</v>
      </c>
      <c r="I27" s="62" t="s">
        <v>14</v>
      </c>
      <c r="J27" s="61" t="s">
        <v>17</v>
      </c>
      <c r="K27" s="67" t="s">
        <v>28</v>
      </c>
      <c r="L27" s="68" t="s">
        <v>82</v>
      </c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</row>
    <row r="28" spans="1:25" ht="15.75" customHeight="1" x14ac:dyDescent="0.2">
      <c r="A28" s="2"/>
      <c r="B28" s="60">
        <v>202251258</v>
      </c>
      <c r="C28" s="61" t="s">
        <v>95</v>
      </c>
      <c r="D28" s="61" t="s">
        <v>96</v>
      </c>
      <c r="E28" s="61" t="s">
        <v>14</v>
      </c>
      <c r="F28" s="61" t="s">
        <v>13</v>
      </c>
      <c r="G28" s="69" t="s">
        <v>92</v>
      </c>
      <c r="H28" s="62" t="s">
        <v>62</v>
      </c>
      <c r="I28" s="61" t="s">
        <v>14</v>
      </c>
      <c r="J28" s="61" t="s">
        <v>17</v>
      </c>
      <c r="K28" s="67" t="s">
        <v>32</v>
      </c>
      <c r="L28" s="68" t="s">
        <v>82</v>
      </c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</row>
    <row r="29" spans="1:25" ht="15.75" customHeight="1" x14ac:dyDescent="0.2">
      <c r="A29" s="2"/>
      <c r="B29" s="60">
        <v>202251252</v>
      </c>
      <c r="C29" s="61" t="s">
        <v>97</v>
      </c>
      <c r="D29" s="61" t="s">
        <v>98</v>
      </c>
      <c r="E29" s="61" t="s">
        <v>14</v>
      </c>
      <c r="F29" s="61" t="s">
        <v>13</v>
      </c>
      <c r="G29" s="69" t="s">
        <v>56</v>
      </c>
      <c r="H29" s="61" t="s">
        <v>91</v>
      </c>
      <c r="I29" s="61" t="s">
        <v>14</v>
      </c>
      <c r="J29" s="61" t="s">
        <v>17</v>
      </c>
      <c r="K29" s="61" t="s">
        <v>45</v>
      </c>
      <c r="L29" s="63" t="s">
        <v>82</v>
      </c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</row>
    <row r="30" spans="1:25" ht="15.75" customHeight="1" x14ac:dyDescent="0.2"/>
    <row r="31" spans="1:25" ht="15.75" customHeight="1" x14ac:dyDescent="0.2"/>
    <row r="32" spans="1:25" ht="15.75" customHeight="1" x14ac:dyDescent="0.2"/>
    <row r="33" spans="1:25" ht="15.75" customHeight="1" x14ac:dyDescent="0.2">
      <c r="H33" s="70" t="s">
        <v>99</v>
      </c>
      <c r="I33" s="70" t="s">
        <v>100</v>
      </c>
      <c r="J33" s="70" t="s">
        <v>101</v>
      </c>
      <c r="K33" s="71" t="s">
        <v>102</v>
      </c>
      <c r="L33" s="72"/>
      <c r="M33" s="73" t="s">
        <v>103</v>
      </c>
    </row>
    <row r="34" spans="1:25" ht="15.75" customHeight="1" x14ac:dyDescent="0.2">
      <c r="A34" s="65"/>
      <c r="B34" s="65"/>
      <c r="C34" s="65"/>
      <c r="D34" s="65"/>
      <c r="E34" s="65"/>
      <c r="F34" s="65"/>
      <c r="G34" s="65"/>
      <c r="H34" s="62" t="s">
        <v>22</v>
      </c>
      <c r="I34" s="74">
        <v>5</v>
      </c>
      <c r="J34" s="74">
        <v>3</v>
      </c>
      <c r="K34" s="75">
        <f t="shared" ref="K34:K51" si="0">COUNTIF($G$2:$I$29,H34)</f>
        <v>6</v>
      </c>
      <c r="L34" s="75"/>
      <c r="M34" s="75">
        <f t="shared" ref="M34:M51" si="1">COUNTIF($E$2:$F$29,H34)</f>
        <v>3</v>
      </c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</row>
    <row r="35" spans="1:25" ht="12.75" x14ac:dyDescent="0.2">
      <c r="A35" s="76"/>
      <c r="B35" s="76"/>
      <c r="C35" s="76"/>
      <c r="D35" s="76"/>
      <c r="E35" s="76"/>
      <c r="F35" s="76"/>
      <c r="G35" s="76"/>
      <c r="H35" s="77" t="s">
        <v>56</v>
      </c>
      <c r="I35" s="78">
        <v>2</v>
      </c>
      <c r="J35" s="78">
        <v>3</v>
      </c>
      <c r="K35" s="79">
        <f t="shared" si="0"/>
        <v>2</v>
      </c>
      <c r="L35" s="79"/>
      <c r="M35" s="79">
        <f t="shared" si="1"/>
        <v>1</v>
      </c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 ht="15.75" customHeight="1" x14ac:dyDescent="0.2">
      <c r="A36" s="80"/>
      <c r="B36" s="80"/>
      <c r="C36" s="80"/>
      <c r="D36" s="80"/>
      <c r="E36" s="80"/>
      <c r="F36" s="80"/>
      <c r="G36" s="80"/>
      <c r="H36" s="81" t="s">
        <v>31</v>
      </c>
      <c r="I36" s="82">
        <v>2</v>
      </c>
      <c r="J36" s="82"/>
      <c r="K36" s="83">
        <f t="shared" si="0"/>
        <v>2</v>
      </c>
      <c r="L36" s="83"/>
      <c r="M36" s="83">
        <f t="shared" si="1"/>
        <v>1</v>
      </c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15.75" customHeight="1" x14ac:dyDescent="0.2">
      <c r="A37" s="9"/>
      <c r="B37" s="9"/>
      <c r="C37" s="9"/>
      <c r="D37" s="9"/>
      <c r="E37" s="9"/>
      <c r="F37" s="9"/>
      <c r="G37" s="9"/>
      <c r="H37" s="5" t="s">
        <v>27</v>
      </c>
      <c r="I37" s="84">
        <v>8</v>
      </c>
      <c r="J37" s="84">
        <v>2</v>
      </c>
      <c r="K37" s="85">
        <f t="shared" si="0"/>
        <v>7</v>
      </c>
      <c r="L37" s="85"/>
      <c r="M37" s="85">
        <f t="shared" si="1"/>
        <v>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 x14ac:dyDescent="0.2">
      <c r="A38" s="86"/>
      <c r="B38" s="86"/>
      <c r="C38" s="86"/>
      <c r="D38" s="86"/>
      <c r="E38" s="86"/>
      <c r="F38" s="86"/>
      <c r="G38" s="86"/>
      <c r="H38" s="87" t="s">
        <v>13</v>
      </c>
      <c r="I38" s="88">
        <v>9</v>
      </c>
      <c r="J38" s="88"/>
      <c r="K38" s="89">
        <f t="shared" si="0"/>
        <v>5</v>
      </c>
      <c r="L38" s="89"/>
      <c r="M38" s="89">
        <f t="shared" si="1"/>
        <v>6</v>
      </c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</row>
    <row r="39" spans="1:25" ht="15.75" customHeight="1" x14ac:dyDescent="0.25">
      <c r="H39" s="90" t="s">
        <v>104</v>
      </c>
      <c r="I39" s="91">
        <v>0</v>
      </c>
      <c r="J39" s="91">
        <v>3</v>
      </c>
      <c r="K39" s="72">
        <f t="shared" si="0"/>
        <v>0</v>
      </c>
      <c r="L39" s="72"/>
      <c r="M39" s="72">
        <f t="shared" si="1"/>
        <v>0</v>
      </c>
    </row>
    <row r="40" spans="1:25" ht="15.75" customHeight="1" x14ac:dyDescent="0.2">
      <c r="H40" s="92" t="s">
        <v>62</v>
      </c>
      <c r="I40" s="91">
        <v>2</v>
      </c>
      <c r="J40" s="91"/>
      <c r="K40" s="72">
        <f t="shared" si="0"/>
        <v>3</v>
      </c>
      <c r="L40" s="72"/>
      <c r="M40" s="72">
        <f t="shared" si="1"/>
        <v>1</v>
      </c>
    </row>
    <row r="41" spans="1:25" ht="15.75" customHeight="1" x14ac:dyDescent="0.2">
      <c r="H41" s="92" t="s">
        <v>36</v>
      </c>
      <c r="I41" s="91">
        <v>12</v>
      </c>
      <c r="J41" s="91">
        <v>5</v>
      </c>
      <c r="K41" s="72">
        <f t="shared" si="0"/>
        <v>10</v>
      </c>
      <c r="L41" s="72"/>
      <c r="M41" s="72">
        <f t="shared" si="1"/>
        <v>7</v>
      </c>
    </row>
    <row r="42" spans="1:25" ht="15.75" customHeight="1" x14ac:dyDescent="0.2">
      <c r="H42" s="93" t="s">
        <v>48</v>
      </c>
      <c r="I42" s="91">
        <v>10</v>
      </c>
      <c r="J42" s="91">
        <v>3</v>
      </c>
      <c r="K42" s="72">
        <f t="shared" si="0"/>
        <v>10</v>
      </c>
      <c r="L42" s="72"/>
      <c r="M42" s="72">
        <f t="shared" si="1"/>
        <v>7</v>
      </c>
    </row>
    <row r="43" spans="1:25" ht="15.75" customHeight="1" x14ac:dyDescent="0.2">
      <c r="H43" s="92" t="s">
        <v>44</v>
      </c>
      <c r="I43" s="91">
        <v>3</v>
      </c>
      <c r="J43" s="91"/>
      <c r="K43" s="72">
        <f t="shared" si="0"/>
        <v>6</v>
      </c>
      <c r="L43" s="72"/>
      <c r="M43" s="72">
        <f t="shared" si="1"/>
        <v>2</v>
      </c>
    </row>
    <row r="44" spans="1:25" ht="15.75" customHeight="1" x14ac:dyDescent="0.2">
      <c r="H44" s="93" t="s">
        <v>91</v>
      </c>
      <c r="I44" s="91">
        <v>2</v>
      </c>
      <c r="J44" s="91"/>
      <c r="K44" s="72">
        <f t="shared" si="0"/>
        <v>3</v>
      </c>
      <c r="L44" s="72"/>
      <c r="M44" s="72">
        <f t="shared" si="1"/>
        <v>1</v>
      </c>
    </row>
    <row r="45" spans="1:25" ht="15.75" customHeight="1" x14ac:dyDescent="0.2">
      <c r="H45" s="92" t="s">
        <v>16</v>
      </c>
      <c r="I45" s="91">
        <v>3</v>
      </c>
      <c r="J45" s="91"/>
      <c r="K45" s="72">
        <f t="shared" si="0"/>
        <v>4</v>
      </c>
      <c r="L45" s="72"/>
      <c r="M45" s="72">
        <f t="shared" si="1"/>
        <v>2</v>
      </c>
    </row>
    <row r="46" spans="1:25" ht="15.75" customHeight="1" x14ac:dyDescent="0.2">
      <c r="H46" s="93" t="s">
        <v>15</v>
      </c>
      <c r="I46" s="91">
        <v>13</v>
      </c>
      <c r="J46" s="91"/>
      <c r="K46" s="72">
        <f t="shared" si="0"/>
        <v>12</v>
      </c>
      <c r="L46" s="72"/>
      <c r="M46" s="72">
        <f t="shared" si="1"/>
        <v>8</v>
      </c>
    </row>
    <row r="47" spans="1:25" ht="15.75" customHeight="1" x14ac:dyDescent="0.2">
      <c r="H47" s="92" t="s">
        <v>26</v>
      </c>
      <c r="I47" s="91">
        <v>2</v>
      </c>
      <c r="J47" s="91"/>
      <c r="K47" s="72">
        <f t="shared" si="0"/>
        <v>2</v>
      </c>
      <c r="L47" s="72"/>
      <c r="M47" s="72">
        <f t="shared" si="1"/>
        <v>1</v>
      </c>
    </row>
    <row r="48" spans="1:25" ht="15.75" customHeight="1" x14ac:dyDescent="0.2">
      <c r="H48" s="92" t="s">
        <v>61</v>
      </c>
      <c r="I48" s="91">
        <v>2</v>
      </c>
      <c r="J48" s="91"/>
      <c r="K48" s="72">
        <f t="shared" si="0"/>
        <v>2</v>
      </c>
      <c r="L48" s="72"/>
      <c r="M48" s="72">
        <f t="shared" si="1"/>
        <v>1</v>
      </c>
    </row>
    <row r="49" spans="8:13" ht="15.75" customHeight="1" x14ac:dyDescent="0.2">
      <c r="H49" s="92" t="s">
        <v>14</v>
      </c>
      <c r="I49" s="91">
        <v>9</v>
      </c>
      <c r="J49" s="91"/>
      <c r="K49" s="72">
        <f t="shared" si="0"/>
        <v>4</v>
      </c>
      <c r="L49" s="72"/>
      <c r="M49" s="72">
        <f t="shared" si="1"/>
        <v>6</v>
      </c>
    </row>
    <row r="50" spans="8:13" ht="15.75" customHeight="1" x14ac:dyDescent="0.2">
      <c r="H50" s="93" t="s">
        <v>92</v>
      </c>
      <c r="I50" s="91">
        <v>2</v>
      </c>
      <c r="J50" s="91"/>
      <c r="K50" s="72">
        <f t="shared" si="0"/>
        <v>1</v>
      </c>
      <c r="L50" s="72"/>
      <c r="M50" s="72">
        <f t="shared" si="1"/>
        <v>1</v>
      </c>
    </row>
    <row r="51" spans="8:13" ht="15.75" customHeight="1" x14ac:dyDescent="0.2">
      <c r="H51" s="93" t="s">
        <v>35</v>
      </c>
      <c r="I51" s="91">
        <v>5</v>
      </c>
      <c r="J51" s="91"/>
      <c r="K51" s="72">
        <f t="shared" si="0"/>
        <v>5</v>
      </c>
      <c r="L51" s="72"/>
      <c r="M51" s="72">
        <f t="shared" si="1"/>
        <v>3</v>
      </c>
    </row>
    <row r="52" spans="8:13" ht="15.75" customHeight="1" x14ac:dyDescent="0.2"/>
    <row r="53" spans="8:13" ht="15.75" customHeight="1" x14ac:dyDescent="0.2"/>
    <row r="54" spans="8:13" ht="15.75" customHeight="1" x14ac:dyDescent="0.2"/>
    <row r="55" spans="8:13" ht="15.75" customHeight="1" x14ac:dyDescent="0.2"/>
    <row r="56" spans="8:13" ht="15.75" customHeight="1" x14ac:dyDescent="0.2"/>
    <row r="57" spans="8:13" ht="15.75" customHeight="1" x14ac:dyDescent="0.2"/>
    <row r="58" spans="8:13" ht="15.75" customHeight="1" x14ac:dyDescent="0.2"/>
    <row r="59" spans="8:13" ht="15.75" customHeight="1" x14ac:dyDescent="0.2"/>
    <row r="60" spans="8:13" ht="15.75" customHeight="1" x14ac:dyDescent="0.2"/>
    <row r="61" spans="8:13" ht="15.75" customHeight="1" x14ac:dyDescent="0.2"/>
    <row r="62" spans="8:13" ht="15.75" customHeight="1" x14ac:dyDescent="0.2"/>
    <row r="63" spans="8:13" ht="15.75" customHeight="1" x14ac:dyDescent="0.2"/>
    <row r="64" spans="8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</sheetData>
  <autoFilter ref="C1:L2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abSelected="1" workbookViewId="0">
      <selection activeCell="B13" sqref="B13"/>
    </sheetView>
  </sheetViews>
  <sheetFormatPr defaultColWidth="12.5703125" defaultRowHeight="15" customHeight="1" x14ac:dyDescent="0.2"/>
  <cols>
    <col min="1" max="1" width="6.42578125" customWidth="1"/>
    <col min="2" max="2" width="9.42578125" customWidth="1"/>
    <col min="3" max="3" width="38.140625" customWidth="1"/>
    <col min="4" max="4" width="143.85546875" customWidth="1"/>
    <col min="5" max="7" width="31.85546875" customWidth="1"/>
    <col min="8" max="8" width="30.85546875" customWidth="1"/>
    <col min="9" max="9" width="31.5703125" customWidth="1"/>
    <col min="10" max="10" width="19.85546875" customWidth="1"/>
    <col min="11" max="12" width="19.140625" customWidth="1"/>
  </cols>
  <sheetData>
    <row r="1" spans="1:24" ht="15.75" customHeight="1" x14ac:dyDescent="0.2">
      <c r="A1" s="94" t="s">
        <v>128</v>
      </c>
      <c r="B1" s="94" t="s">
        <v>0</v>
      </c>
      <c r="C1" s="94" t="s">
        <v>1</v>
      </c>
      <c r="D1" s="94" t="s">
        <v>2</v>
      </c>
      <c r="E1" s="94" t="s">
        <v>3</v>
      </c>
      <c r="F1" s="94" t="s">
        <v>4</v>
      </c>
      <c r="G1" s="94" t="s">
        <v>5</v>
      </c>
      <c r="H1" s="94" t="s">
        <v>6</v>
      </c>
      <c r="I1" s="94" t="s">
        <v>7</v>
      </c>
      <c r="J1" s="94" t="s">
        <v>8</v>
      </c>
      <c r="K1" s="94" t="s">
        <v>9</v>
      </c>
      <c r="L1" s="94" t="s">
        <v>10</v>
      </c>
    </row>
    <row r="2" spans="1:24" ht="15.75" customHeight="1" x14ac:dyDescent="0.2">
      <c r="A2" s="95"/>
      <c r="B2" s="96">
        <v>202251109</v>
      </c>
      <c r="C2" s="96" t="s">
        <v>105</v>
      </c>
      <c r="D2" s="96" t="s">
        <v>106</v>
      </c>
      <c r="E2" s="96" t="s">
        <v>22</v>
      </c>
      <c r="F2" s="96" t="s">
        <v>107</v>
      </c>
      <c r="G2" s="96" t="s">
        <v>56</v>
      </c>
      <c r="H2" s="97" t="s">
        <v>27</v>
      </c>
      <c r="I2" s="98" t="str">
        <f t="shared" ref="I2:I8" si="0">E2:E8</f>
        <v>Aditya Akbar Riadi, S.Kom., M.Kom</v>
      </c>
      <c r="J2" s="99" t="s">
        <v>108</v>
      </c>
      <c r="K2" s="99" t="s">
        <v>109</v>
      </c>
      <c r="L2" s="99" t="s">
        <v>53</v>
      </c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</row>
    <row r="3" spans="1:24" ht="15.75" customHeight="1" x14ac:dyDescent="0.2">
      <c r="A3" s="95"/>
      <c r="B3" s="96">
        <v>202251120</v>
      </c>
      <c r="C3" s="96" t="s">
        <v>110</v>
      </c>
      <c r="D3" s="96" t="s">
        <v>111</v>
      </c>
      <c r="E3" s="96" t="s">
        <v>22</v>
      </c>
      <c r="F3" s="96" t="s">
        <v>112</v>
      </c>
      <c r="G3" s="96" t="s">
        <v>107</v>
      </c>
      <c r="H3" s="96" t="s">
        <v>56</v>
      </c>
      <c r="I3" s="98" t="str">
        <f t="shared" si="0"/>
        <v>Aditya Akbar Riadi, S.Kom., M.Kom</v>
      </c>
      <c r="J3" s="99" t="s">
        <v>108</v>
      </c>
      <c r="K3" s="99" t="s">
        <v>113</v>
      </c>
      <c r="L3" s="99" t="s">
        <v>53</v>
      </c>
      <c r="M3" s="101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</row>
    <row r="4" spans="1:24" ht="15.75" customHeight="1" x14ac:dyDescent="0.2">
      <c r="A4" s="95"/>
      <c r="B4" s="96">
        <v>202251129</v>
      </c>
      <c r="C4" s="96" t="s">
        <v>114</v>
      </c>
      <c r="D4" s="96" t="s">
        <v>115</v>
      </c>
      <c r="E4" s="96" t="s">
        <v>107</v>
      </c>
      <c r="F4" s="96" t="s">
        <v>56</v>
      </c>
      <c r="G4" s="97" t="s">
        <v>22</v>
      </c>
      <c r="H4" s="4" t="s">
        <v>27</v>
      </c>
      <c r="I4" s="98" t="str">
        <f t="shared" si="0"/>
        <v>Dr. Ahmad Abdul Chamid,S.Kom., M.Kom</v>
      </c>
      <c r="J4" s="99" t="s">
        <v>108</v>
      </c>
      <c r="K4" s="98" t="s">
        <v>116</v>
      </c>
      <c r="L4" s="99" t="s">
        <v>53</v>
      </c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</row>
    <row r="5" spans="1:24" ht="15.75" customHeight="1" x14ac:dyDescent="0.2">
      <c r="A5" s="103"/>
      <c r="B5" s="104">
        <v>202151096</v>
      </c>
      <c r="C5" s="104" t="s">
        <v>117</v>
      </c>
      <c r="D5" s="104" t="s">
        <v>118</v>
      </c>
      <c r="E5" s="104" t="s">
        <v>56</v>
      </c>
      <c r="F5" s="104" t="s">
        <v>119</v>
      </c>
      <c r="G5" s="104" t="s">
        <v>112</v>
      </c>
      <c r="H5" s="105" t="s">
        <v>27</v>
      </c>
      <c r="I5" s="106" t="str">
        <f t="shared" si="0"/>
        <v>Dr. Ahmad Jazuli, S.Kom., M.Kom</v>
      </c>
      <c r="J5" s="107" t="s">
        <v>52</v>
      </c>
      <c r="K5" s="108" t="s">
        <v>109</v>
      </c>
      <c r="L5" s="107" t="s">
        <v>82</v>
      </c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1:24" ht="16.5" customHeight="1" x14ac:dyDescent="0.2">
      <c r="A6" s="110"/>
      <c r="B6" s="111">
        <v>202251135</v>
      </c>
      <c r="C6" s="111" t="s">
        <v>120</v>
      </c>
      <c r="D6" s="111" t="s">
        <v>121</v>
      </c>
      <c r="E6" s="111" t="s">
        <v>36</v>
      </c>
      <c r="F6" s="111" t="s">
        <v>27</v>
      </c>
      <c r="G6" s="111" t="s">
        <v>48</v>
      </c>
      <c r="H6" s="111" t="s">
        <v>112</v>
      </c>
      <c r="I6" s="112" t="str">
        <f t="shared" si="0"/>
        <v>Esti Wijayanti, S.Kom., M.Kom</v>
      </c>
      <c r="J6" s="113" t="s">
        <v>81</v>
      </c>
      <c r="K6" s="112" t="s">
        <v>122</v>
      </c>
      <c r="L6" s="114" t="s">
        <v>82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</row>
    <row r="7" spans="1:24" ht="15.75" customHeight="1" x14ac:dyDescent="0.2">
      <c r="A7" s="116"/>
      <c r="B7" s="117">
        <v>202251126</v>
      </c>
      <c r="C7" s="117" t="s">
        <v>123</v>
      </c>
      <c r="D7" s="117" t="s">
        <v>124</v>
      </c>
      <c r="E7" s="117" t="s">
        <v>36</v>
      </c>
      <c r="F7" s="117" t="s">
        <v>48</v>
      </c>
      <c r="G7" s="117" t="s">
        <v>107</v>
      </c>
      <c r="H7" s="118" t="s">
        <v>27</v>
      </c>
      <c r="I7" s="119" t="str">
        <f t="shared" si="0"/>
        <v>Esti Wijayanti, S.Kom., M.Kom</v>
      </c>
      <c r="J7" s="120" t="s">
        <v>125</v>
      </c>
      <c r="K7" s="120" t="s">
        <v>125</v>
      </c>
      <c r="L7" s="120" t="s">
        <v>125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</row>
    <row r="8" spans="1:24" ht="15.75" customHeight="1" x14ac:dyDescent="0.2">
      <c r="A8" s="122"/>
      <c r="B8" s="123">
        <v>202251103</v>
      </c>
      <c r="C8" s="123" t="s">
        <v>126</v>
      </c>
      <c r="D8" s="123" t="s">
        <v>127</v>
      </c>
      <c r="E8" s="123" t="s">
        <v>36</v>
      </c>
      <c r="F8" s="123" t="s">
        <v>48</v>
      </c>
      <c r="G8" s="123" t="s">
        <v>107</v>
      </c>
      <c r="H8" s="124" t="s">
        <v>119</v>
      </c>
      <c r="I8" s="125" t="str">
        <f t="shared" si="0"/>
        <v>Esti Wijayanti, S.Kom., M.Kom</v>
      </c>
      <c r="J8" s="124" t="s">
        <v>17</v>
      </c>
      <c r="K8" s="126" t="s">
        <v>122</v>
      </c>
      <c r="L8" s="126" t="s">
        <v>82</v>
      </c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</row>
    <row r="9" spans="1:24" ht="15.75" customHeight="1" x14ac:dyDescent="0.2">
      <c r="B9" s="128"/>
      <c r="C9" s="128"/>
      <c r="D9" s="128"/>
      <c r="E9" s="128"/>
      <c r="F9" s="128"/>
    </row>
    <row r="10" spans="1:24" ht="15.75" customHeight="1" x14ac:dyDescent="0.2">
      <c r="B10" s="128"/>
      <c r="C10" s="128"/>
      <c r="D10" s="128"/>
      <c r="E10" s="128"/>
      <c r="F10" s="128"/>
    </row>
    <row r="11" spans="1:24" ht="15.75" customHeight="1" x14ac:dyDescent="0.2">
      <c r="B11" s="128"/>
      <c r="C11" s="128"/>
      <c r="D11" s="128"/>
      <c r="E11" s="128"/>
      <c r="F11" s="128"/>
    </row>
    <row r="12" spans="1:24" ht="15.75" customHeight="1" x14ac:dyDescent="0.2">
      <c r="B12" s="128"/>
      <c r="C12" s="128"/>
      <c r="D12" s="128"/>
      <c r="E12" s="128"/>
      <c r="F12" s="128"/>
    </row>
    <row r="13" spans="1:24" ht="15.75" customHeight="1" x14ac:dyDescent="0.2">
      <c r="B13" s="128"/>
      <c r="C13" s="128"/>
      <c r="D13" s="128"/>
      <c r="E13" s="128"/>
      <c r="F13" s="128"/>
    </row>
    <row r="14" spans="1:24" ht="15.75" customHeight="1" x14ac:dyDescent="0.2">
      <c r="B14" s="128"/>
      <c r="C14" s="128"/>
      <c r="D14" s="128"/>
      <c r="E14" s="128"/>
      <c r="F14" s="128"/>
    </row>
    <row r="15" spans="1:24" ht="15.75" customHeight="1" x14ac:dyDescent="0.2">
      <c r="B15" s="128"/>
      <c r="C15" s="128"/>
      <c r="D15" s="128"/>
      <c r="E15" s="128"/>
      <c r="F15" s="128"/>
    </row>
    <row r="16" spans="1:24" ht="15.75" hidden="1" customHeight="1" x14ac:dyDescent="0.2">
      <c r="B16" s="128"/>
      <c r="C16" s="128"/>
      <c r="D16" s="128"/>
      <c r="E16" s="128"/>
      <c r="F16" s="128"/>
      <c r="G16" s="92" t="s">
        <v>22</v>
      </c>
      <c r="H16" s="129">
        <f t="shared" ref="H16:H33" si="1">COUNTIF($E$2:$F$8,G16)</f>
        <v>2</v>
      </c>
      <c r="I16" s="129">
        <f t="shared" ref="I16:I30" si="2">COUNTIF($G$2:$I$8,G16)</f>
        <v>3</v>
      </c>
    </row>
    <row r="17" spans="7:9" ht="15.75" hidden="1" customHeight="1" x14ac:dyDescent="0.2">
      <c r="G17" s="93" t="s">
        <v>56</v>
      </c>
      <c r="H17" s="129">
        <f t="shared" si="1"/>
        <v>2</v>
      </c>
      <c r="I17" s="129">
        <f t="shared" si="2"/>
        <v>3</v>
      </c>
    </row>
    <row r="18" spans="7:9" ht="15.75" hidden="1" customHeight="1" x14ac:dyDescent="0.2">
      <c r="G18" s="130" t="s">
        <v>31</v>
      </c>
      <c r="H18" s="129">
        <f t="shared" si="1"/>
        <v>0</v>
      </c>
      <c r="I18" s="129">
        <f t="shared" si="2"/>
        <v>0</v>
      </c>
    </row>
    <row r="19" spans="7:9" ht="15.75" hidden="1" customHeight="1" x14ac:dyDescent="0.2">
      <c r="G19" s="92" t="s">
        <v>27</v>
      </c>
      <c r="H19" s="129">
        <f t="shared" si="1"/>
        <v>1</v>
      </c>
      <c r="I19" s="129">
        <f t="shared" si="2"/>
        <v>4</v>
      </c>
    </row>
    <row r="20" spans="7:9" ht="15.75" hidden="1" customHeight="1" x14ac:dyDescent="0.2">
      <c r="G20" s="92" t="s">
        <v>13</v>
      </c>
      <c r="H20" s="129">
        <f t="shared" si="1"/>
        <v>0</v>
      </c>
      <c r="I20" s="129">
        <f t="shared" si="2"/>
        <v>0</v>
      </c>
    </row>
    <row r="21" spans="7:9" ht="15.75" hidden="1" customHeight="1" x14ac:dyDescent="0.2">
      <c r="G21" s="131" t="s">
        <v>107</v>
      </c>
      <c r="H21" s="129">
        <f t="shared" si="1"/>
        <v>2</v>
      </c>
      <c r="I21" s="129">
        <f t="shared" si="2"/>
        <v>4</v>
      </c>
    </row>
    <row r="22" spans="7:9" ht="15.75" hidden="1" customHeight="1" x14ac:dyDescent="0.2">
      <c r="G22" s="92" t="s">
        <v>62</v>
      </c>
      <c r="H22" s="129">
        <f t="shared" si="1"/>
        <v>0</v>
      </c>
      <c r="I22" s="129">
        <f t="shared" si="2"/>
        <v>0</v>
      </c>
    </row>
    <row r="23" spans="7:9" ht="15.75" hidden="1" customHeight="1" x14ac:dyDescent="0.2">
      <c r="G23" s="92" t="s">
        <v>36</v>
      </c>
      <c r="H23" s="129">
        <f t="shared" si="1"/>
        <v>3</v>
      </c>
      <c r="I23" s="129">
        <f t="shared" si="2"/>
        <v>3</v>
      </c>
    </row>
    <row r="24" spans="7:9" ht="15.75" hidden="1" customHeight="1" x14ac:dyDescent="0.2">
      <c r="G24" s="93" t="s">
        <v>48</v>
      </c>
      <c r="H24" s="129">
        <f t="shared" si="1"/>
        <v>2</v>
      </c>
      <c r="I24" s="129">
        <f t="shared" si="2"/>
        <v>1</v>
      </c>
    </row>
    <row r="25" spans="7:9" ht="15.75" hidden="1" customHeight="1" x14ac:dyDescent="0.2">
      <c r="G25" s="92" t="s">
        <v>44</v>
      </c>
      <c r="H25" s="129">
        <f t="shared" si="1"/>
        <v>0</v>
      </c>
      <c r="I25" s="129">
        <f t="shared" si="2"/>
        <v>0</v>
      </c>
    </row>
    <row r="26" spans="7:9" ht="15.75" hidden="1" customHeight="1" x14ac:dyDescent="0.2">
      <c r="G26" s="93" t="s">
        <v>91</v>
      </c>
      <c r="H26" s="129">
        <f t="shared" si="1"/>
        <v>0</v>
      </c>
      <c r="I26" s="129">
        <f t="shared" si="2"/>
        <v>0</v>
      </c>
    </row>
    <row r="27" spans="7:9" ht="15.75" hidden="1" customHeight="1" x14ac:dyDescent="0.2">
      <c r="G27" s="92" t="s">
        <v>16</v>
      </c>
      <c r="H27" s="129">
        <f t="shared" si="1"/>
        <v>0</v>
      </c>
      <c r="I27" s="129">
        <f t="shared" si="2"/>
        <v>0</v>
      </c>
    </row>
    <row r="28" spans="7:9" ht="15.75" hidden="1" customHeight="1" x14ac:dyDescent="0.2">
      <c r="G28" s="93" t="s">
        <v>15</v>
      </c>
      <c r="H28" s="129">
        <f t="shared" si="1"/>
        <v>0</v>
      </c>
      <c r="I28" s="129">
        <f t="shared" si="2"/>
        <v>0</v>
      </c>
    </row>
    <row r="29" spans="7:9" ht="15.75" hidden="1" customHeight="1" x14ac:dyDescent="0.2">
      <c r="G29" s="104" t="s">
        <v>112</v>
      </c>
      <c r="H29" s="129">
        <f t="shared" si="1"/>
        <v>1</v>
      </c>
      <c r="I29" s="129">
        <f t="shared" si="2"/>
        <v>2</v>
      </c>
    </row>
    <row r="30" spans="7:9" ht="15.75" hidden="1" customHeight="1" x14ac:dyDescent="0.2">
      <c r="G30" s="92" t="s">
        <v>61</v>
      </c>
      <c r="H30" s="129">
        <f t="shared" si="1"/>
        <v>0</v>
      </c>
      <c r="I30" s="129">
        <f t="shared" si="2"/>
        <v>0</v>
      </c>
    </row>
    <row r="31" spans="7:9" ht="15.75" hidden="1" customHeight="1" x14ac:dyDescent="0.2">
      <c r="G31" s="92" t="s">
        <v>14</v>
      </c>
      <c r="H31" s="129">
        <f t="shared" si="1"/>
        <v>0</v>
      </c>
    </row>
    <row r="32" spans="7:9" ht="15.75" hidden="1" customHeight="1" x14ac:dyDescent="0.2">
      <c r="G32" s="93" t="s">
        <v>92</v>
      </c>
      <c r="H32" s="129">
        <f t="shared" si="1"/>
        <v>0</v>
      </c>
    </row>
    <row r="33" spans="7:8" ht="15.75" hidden="1" customHeight="1" x14ac:dyDescent="0.2">
      <c r="G33" s="130" t="s">
        <v>35</v>
      </c>
      <c r="H33" s="129">
        <f t="shared" si="1"/>
        <v>0</v>
      </c>
    </row>
    <row r="34" spans="7:8" ht="15.75" hidden="1" customHeight="1" x14ac:dyDescent="0.2"/>
    <row r="35" spans="7:8" ht="15.75" customHeight="1" x14ac:dyDescent="0.2"/>
    <row r="36" spans="7:8" ht="15.75" customHeight="1" x14ac:dyDescent="0.2"/>
    <row r="37" spans="7:8" ht="15.75" customHeight="1" x14ac:dyDescent="0.2"/>
    <row r="38" spans="7:8" ht="15.75" customHeight="1" x14ac:dyDescent="0.2"/>
    <row r="39" spans="7:8" ht="15.75" customHeight="1" x14ac:dyDescent="0.2"/>
    <row r="40" spans="7:8" ht="15.75" customHeight="1" x14ac:dyDescent="0.2"/>
    <row r="41" spans="7:8" ht="15.75" customHeight="1" x14ac:dyDescent="0.2"/>
    <row r="42" spans="7:8" ht="15.75" customHeight="1" x14ac:dyDescent="0.2"/>
    <row r="43" spans="7:8" ht="15.75" customHeight="1" x14ac:dyDescent="0.2"/>
    <row r="44" spans="7:8" ht="15.75" customHeight="1" x14ac:dyDescent="0.2"/>
    <row r="45" spans="7:8" ht="15.75" customHeight="1" x14ac:dyDescent="0.2"/>
    <row r="46" spans="7:8" ht="15.75" customHeight="1" x14ac:dyDescent="0.2"/>
    <row r="47" spans="7:8" ht="15.75" customHeight="1" x14ac:dyDescent="0.2"/>
    <row r="48" spans="7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L8" xr:uid="{00000000-0009-0000-0000-000001000000}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Sidang</vt:lpstr>
      <vt:lpstr>Jurnal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LABORAN</dc:creator>
  <cp:lastModifiedBy>Bagus Suseto</cp:lastModifiedBy>
  <dcterms:created xsi:type="dcterms:W3CDTF">2026-06-30T07:29:56Z</dcterms:created>
  <dcterms:modified xsi:type="dcterms:W3CDTF">2026-07-21T08:18:32Z</dcterms:modified>
</cp:coreProperties>
</file>